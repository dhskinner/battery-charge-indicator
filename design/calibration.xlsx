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My Projects\VMR Charging Indicator\Source Code\"/>
    </mc:Choice>
  </mc:AlternateContent>
  <xr:revisionPtr revIDLastSave="0" documentId="13_ncr:1_{C3E0BF09-7441-44E0-BCE5-28744732483A}" xr6:coauthVersionLast="47" xr6:coauthVersionMax="47" xr10:uidLastSave="{00000000-0000-0000-0000-000000000000}"/>
  <bookViews>
    <workbookView xWindow="-98" yWindow="-98" windowWidth="23236" windowHeight="13875" xr2:uid="{3BE19AD3-2B32-4BF7-B8BF-FF212CEB8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G17" i="1"/>
  <c r="H17" i="1"/>
  <c r="H4" i="1"/>
  <c r="H5" i="1"/>
  <c r="H6" i="1"/>
  <c r="H7" i="1"/>
  <c r="H8" i="1"/>
  <c r="H9" i="1"/>
  <c r="H10" i="1"/>
  <c r="H11" i="1"/>
  <c r="H12" i="1"/>
  <c r="H13" i="1"/>
  <c r="H14" i="1"/>
  <c r="H15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C15" i="1"/>
  <c r="C14" i="1"/>
  <c r="C5" i="1"/>
  <c r="C6" i="1"/>
  <c r="C7" i="1"/>
  <c r="C8" i="1"/>
  <c r="C9" i="1" s="1"/>
  <c r="B9" i="1" s="1"/>
  <c r="C10" i="1"/>
  <c r="C11" i="1"/>
  <c r="C12" i="1"/>
  <c r="C13" i="1"/>
  <c r="C4" i="1"/>
  <c r="C3" i="1"/>
</calcChain>
</file>

<file path=xl/sharedStrings.xml><?xml version="1.0" encoding="utf-8"?>
<sst xmlns="http://schemas.openxmlformats.org/spreadsheetml/2006/main" count="8" uniqueCount="8">
  <si>
    <t>ADC reading (0-1023)</t>
  </si>
  <si>
    <t>Input Voltage</t>
  </si>
  <si>
    <t>Schottky Forward Voltage</t>
  </si>
  <si>
    <t>ADC Input Voltage</t>
  </si>
  <si>
    <t>Vref</t>
  </si>
  <si>
    <t>&lt;- bug if the last digit is a zero</t>
  </si>
  <si>
    <t>Uncorrected Range</t>
  </si>
  <si>
    <t>Corrected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</si>
</sst>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2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9">
    <dxf>
      <alignment horizontal="general"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  <dxf>
      <numFmt numFmtId="2" formatCode="0.00"/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ADC reading (0-1023)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Sheet1!$D$3:$D$15</c:f>
              <c:numCache>
                <c:formatCode>0.00</c:formatCode>
                <c:ptCount val="13"/>
                <c:pt idx="0">
                  <c:v>4.29</c:v>
                </c:pt>
                <c:pt idx="1">
                  <c:v>6.07</c:v>
                </c:pt>
                <c:pt idx="2">
                  <c:v>7.01</c:v>
                </c:pt>
                <c:pt idx="3">
                  <c:v>7.98</c:v>
                </c:pt>
                <c:pt idx="4">
                  <c:v>9.02</c:v>
                </c:pt>
                <c:pt idx="5">
                  <c:v>10</c:v>
                </c:pt>
                <c:pt idx="6">
                  <c:v>10.48</c:v>
                </c:pt>
                <c:pt idx="7">
                  <c:v>11.04</c:v>
                </c:pt>
                <c:pt idx="8">
                  <c:v>12.01</c:v>
                </c:pt>
                <c:pt idx="9">
                  <c:v>13</c:v>
                </c:pt>
                <c:pt idx="10">
                  <c:v>14.03</c:v>
                </c:pt>
                <c:pt idx="11">
                  <c:v>15.03</c:v>
                </c:pt>
                <c:pt idx="12">
                  <c:v>16.07</c:v>
                </c:pt>
              </c:numCache>
            </c:numRef>
          </c:xVal>
          <c:yVal>
            <c:numRef>
              <c:f>Sheet1!$E$3:$E$15</c:f>
              <c:numCache>
                <c:formatCode>General</c:formatCode>
                <c:ptCount val="13"/>
                <c:pt idx="0">
                  <c:v>207</c:v>
                </c:pt>
                <c:pt idx="1">
                  <c:v>294</c:v>
                </c:pt>
                <c:pt idx="2">
                  <c:v>340</c:v>
                </c:pt>
                <c:pt idx="3">
                  <c:v>388</c:v>
                </c:pt>
                <c:pt idx="4">
                  <c:v>439</c:v>
                </c:pt>
                <c:pt idx="5">
                  <c:v>486</c:v>
                </c:pt>
                <c:pt idx="6">
                  <c:v>512</c:v>
                </c:pt>
                <c:pt idx="7">
                  <c:v>538</c:v>
                </c:pt>
                <c:pt idx="8">
                  <c:v>585</c:v>
                </c:pt>
                <c:pt idx="9">
                  <c:v>633</c:v>
                </c:pt>
                <c:pt idx="10">
                  <c:v>686</c:v>
                </c:pt>
                <c:pt idx="11">
                  <c:v>736</c:v>
                </c:pt>
                <c:pt idx="12">
                  <c:v>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C-4EFC-84D2-D290FE4C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544607"/>
        <c:axId val="1204541247"/>
      </c:scatterChart>
      <c:valAx>
        <c:axId val="120454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41247"/>
        <c:crosses val="autoZero"/>
        <c:crossBetween val="midCat"/>
      </c:valAx>
      <c:valAx>
        <c:axId val="120454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54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459580</xdr:colOff>
      <xdr:row>0</xdr:row>
      <xdr:rowOff>171451</xdr:rowOff>
    </xdr:from>
    <xdr:to>
      <xdr:col>18</xdr:col>
      <xdr:colOff>561975</xdr:colOff>
      <xdr:row>18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B828F-7C70-5C57-EE48-99C154392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A036B-20E1-4AB7-A43D-26237F5C0634}" name="Table1" displayName="Table1" ref="B2:H15" totalsRowShown="0" headerRowDxfId="1" dataDxfId="0">
  <autoFilter ref="B2:H15" xr:uid="{B13A036B-20E1-4AB7-A43D-26237F5C0634}"/>
  <tableColumns count="7">
    <tableColumn id="1" xr3:uid="{4561D180-8027-4D70-9A0D-47CDD1234BC1}" name="Input Voltage" dataDxfId="8"/>
    <tableColumn id="2" xr3:uid="{6ED79BBA-AA25-4F57-8AA9-5CAB7311D9CD}" name="Schottky Forward Voltage" dataDxfId="7">
      <calculatedColumnFormula>B3-D3</calculatedColumnFormula>
    </tableColumn>
    <tableColumn id="3" xr3:uid="{55A2D812-95EA-4CD0-85B4-3FB352BC30C6}" name="ADC Input Voltage" dataDxfId="6"/>
    <tableColumn id="4" xr3:uid="{53473D26-A2C1-4B17-80A9-C19F6C6BD405}" name="ADC reading (0-1023)" dataDxfId="5"/>
    <tableColumn id="5" xr3:uid="{6BE1A917-D4CF-4080-B637-33AFEACC6A98}" name="Vref" dataDxfId="4"/>
    <tableColumn id="6" xr3:uid="{83F896CC-EC30-4DE1-A765-30C3A3DF8498}" name="Uncorrected Range" dataDxfId="3">
      <calculatedColumnFormula>D3*1023/E3</calculatedColumnFormula>
    </tableColumn>
    <tableColumn id="7" xr3:uid="{F51FAD37-E807-482D-BC6D-40A8D5ACF2DA}" name="Corrected Range" dataDxfId="2">
      <calculatedColumnFormula>G3+C3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8778-687D-4451-849B-C15CCEC7D129}">
  <dimension ref="B2:I17"/>
  <sheetViews>
    <sheetView showGridLines="0" tabSelected="1" workbookViewId="0">
      <selection activeCell="J19" sqref="J19"/>
    </sheetView>
  </sheetViews>
  <sheetFormatPr defaultRowHeight="14.25" x14ac:dyDescent="0.45"/>
  <cols>
    <col min="1" max="1" width="9.06640625" style="2"/>
    <col min="2" max="8" width="9.46484375" style="2" customWidth="1"/>
    <col min="9" max="16384" width="9.06640625" style="2"/>
  </cols>
  <sheetData>
    <row r="2" spans="2:9" s="1" customFormat="1" ht="51" customHeight="1" x14ac:dyDescent="0.45">
      <c r="B2" s="1" t="s">
        <v>1</v>
      </c>
      <c r="C2" s="1" t="s">
        <v>2</v>
      </c>
      <c r="D2" s="1" t="s">
        <v>3</v>
      </c>
      <c r="E2" s="1" t="s">
        <v>0</v>
      </c>
      <c r="F2" s="1" t="s">
        <v>4</v>
      </c>
      <c r="G2" s="1" t="s">
        <v>6</v>
      </c>
      <c r="H2" s="1" t="s">
        <v>7</v>
      </c>
    </row>
    <row r="3" spans="2:9" s="2" customFormat="1" x14ac:dyDescent="0.45">
      <c r="B3" s="3">
        <v>4.3899999999999997</v>
      </c>
      <c r="C3" s="3">
        <f>B3-D3</f>
        <v>9.9999999999999645E-2</v>
      </c>
      <c r="D3" s="3">
        <v>4.29</v>
      </c>
      <c r="E3" s="2">
        <v>207</v>
      </c>
      <c r="F3" s="3">
        <v>5</v>
      </c>
      <c r="G3" s="3">
        <f>D3*1023/E3</f>
        <v>21.201304347826088</v>
      </c>
      <c r="H3" s="3">
        <f>G3+C3</f>
        <v>21.30130434782609</v>
      </c>
    </row>
    <row r="4" spans="2:9" s="2" customFormat="1" x14ac:dyDescent="0.45">
      <c r="B4" s="3">
        <v>6.19</v>
      </c>
      <c r="C4" s="3">
        <f>B4-D4</f>
        <v>0.12000000000000011</v>
      </c>
      <c r="D4" s="3">
        <v>6.07</v>
      </c>
      <c r="E4" s="2">
        <v>294</v>
      </c>
      <c r="F4" s="3">
        <v>5</v>
      </c>
      <c r="G4" s="3">
        <f t="shared" ref="G4:G15" si="0">D4*1023/E4</f>
        <v>21.121122448979595</v>
      </c>
      <c r="H4" s="3">
        <f t="shared" ref="H4:H15" si="1">G4+C4</f>
        <v>21.241122448979596</v>
      </c>
    </row>
    <row r="5" spans="2:9" s="2" customFormat="1" x14ac:dyDescent="0.45">
      <c r="B5" s="3">
        <v>7.13</v>
      </c>
      <c r="C5" s="3">
        <f t="shared" ref="C5:C15" si="2">B5-D5</f>
        <v>0.12000000000000011</v>
      </c>
      <c r="D5" s="3">
        <v>7.01</v>
      </c>
      <c r="E5" s="2">
        <v>340</v>
      </c>
      <c r="F5" s="3">
        <v>5</v>
      </c>
      <c r="G5" s="3">
        <f t="shared" si="0"/>
        <v>21.091852941176469</v>
      </c>
      <c r="H5" s="3">
        <f t="shared" si="1"/>
        <v>21.21185294117647</v>
      </c>
      <c r="I5" s="2" t="s">
        <v>5</v>
      </c>
    </row>
    <row r="6" spans="2:9" s="2" customFormat="1" x14ac:dyDescent="0.45">
      <c r="B6" s="3">
        <v>8.1</v>
      </c>
      <c r="C6" s="3">
        <f t="shared" si="2"/>
        <v>0.11999999999999922</v>
      </c>
      <c r="D6" s="3">
        <v>7.98</v>
      </c>
      <c r="E6" s="2">
        <v>388</v>
      </c>
      <c r="F6" s="3">
        <v>5</v>
      </c>
      <c r="G6" s="3">
        <f t="shared" si="0"/>
        <v>21.040051546391755</v>
      </c>
      <c r="H6" s="3">
        <f t="shared" si="1"/>
        <v>21.160051546391756</v>
      </c>
    </row>
    <row r="7" spans="2:9" s="2" customFormat="1" x14ac:dyDescent="0.45">
      <c r="B7" s="3">
        <v>9.15</v>
      </c>
      <c r="C7" s="3">
        <f t="shared" si="2"/>
        <v>0.13000000000000078</v>
      </c>
      <c r="D7" s="3">
        <v>9.02</v>
      </c>
      <c r="E7" s="2">
        <v>439</v>
      </c>
      <c r="F7" s="3">
        <v>5</v>
      </c>
      <c r="G7" s="3">
        <f t="shared" si="0"/>
        <v>21.019271070615034</v>
      </c>
      <c r="H7" s="3">
        <f t="shared" si="1"/>
        <v>21.149271070615036</v>
      </c>
    </row>
    <row r="8" spans="2:9" s="2" customFormat="1" x14ac:dyDescent="0.45">
      <c r="B8" s="3">
        <v>10.130000000000001</v>
      </c>
      <c r="C8" s="3">
        <f t="shared" si="2"/>
        <v>0.13000000000000078</v>
      </c>
      <c r="D8" s="3">
        <v>10</v>
      </c>
      <c r="E8" s="2">
        <v>486</v>
      </c>
      <c r="F8" s="3">
        <v>5</v>
      </c>
      <c r="G8" s="3">
        <f t="shared" si="0"/>
        <v>21.049382716049383</v>
      </c>
      <c r="H8" s="3">
        <f t="shared" si="1"/>
        <v>21.179382716049382</v>
      </c>
    </row>
    <row r="9" spans="2:9" s="2" customFormat="1" x14ac:dyDescent="0.45">
      <c r="B9" s="3">
        <f>D9+C9</f>
        <v>10.610000000000001</v>
      </c>
      <c r="C9" s="3">
        <f>C8</f>
        <v>0.13000000000000078</v>
      </c>
      <c r="D9" s="3">
        <v>10.48</v>
      </c>
      <c r="E9" s="2">
        <v>512</v>
      </c>
      <c r="F9" s="3">
        <v>5</v>
      </c>
      <c r="G9" s="3">
        <f t="shared" si="0"/>
        <v>20.939531250000002</v>
      </c>
      <c r="H9" s="3">
        <f t="shared" si="1"/>
        <v>21.069531250000004</v>
      </c>
    </row>
    <row r="10" spans="2:9" s="2" customFormat="1" x14ac:dyDescent="0.45">
      <c r="B10" s="3">
        <v>11.17</v>
      </c>
      <c r="C10" s="3">
        <f t="shared" si="2"/>
        <v>0.13000000000000078</v>
      </c>
      <c r="D10" s="3">
        <v>11.04</v>
      </c>
      <c r="E10" s="2">
        <v>538</v>
      </c>
      <c r="F10" s="3">
        <v>5</v>
      </c>
      <c r="G10" s="3">
        <f t="shared" si="0"/>
        <v>20.992416356877321</v>
      </c>
      <c r="H10" s="3">
        <f t="shared" si="1"/>
        <v>21.122416356877324</v>
      </c>
    </row>
    <row r="11" spans="2:9" s="2" customFormat="1" x14ac:dyDescent="0.45">
      <c r="B11" s="3">
        <v>12.14</v>
      </c>
      <c r="C11" s="3">
        <f t="shared" si="2"/>
        <v>0.13000000000000078</v>
      </c>
      <c r="D11" s="3">
        <v>12.01</v>
      </c>
      <c r="E11" s="2">
        <v>585</v>
      </c>
      <c r="F11" s="3">
        <v>5</v>
      </c>
      <c r="G11" s="3">
        <f t="shared" si="0"/>
        <v>21.002102564102564</v>
      </c>
      <c r="H11" s="3">
        <f t="shared" si="1"/>
        <v>21.132102564102567</v>
      </c>
    </row>
    <row r="12" spans="2:9" s="2" customFormat="1" x14ac:dyDescent="0.45">
      <c r="B12" s="3">
        <v>13.13</v>
      </c>
      <c r="C12" s="3">
        <f t="shared" si="2"/>
        <v>0.13000000000000078</v>
      </c>
      <c r="D12" s="3">
        <v>13</v>
      </c>
      <c r="E12" s="2">
        <v>633</v>
      </c>
      <c r="F12" s="3">
        <v>5</v>
      </c>
      <c r="G12" s="3">
        <f t="shared" si="0"/>
        <v>21.009478672985782</v>
      </c>
      <c r="H12" s="3">
        <f t="shared" si="1"/>
        <v>21.139478672985781</v>
      </c>
    </row>
    <row r="13" spans="2:9" s="2" customFormat="1" x14ac:dyDescent="0.45">
      <c r="B13" s="3">
        <v>14.16</v>
      </c>
      <c r="C13" s="3">
        <f t="shared" si="2"/>
        <v>0.13000000000000078</v>
      </c>
      <c r="D13" s="3">
        <v>14.03</v>
      </c>
      <c r="E13" s="2">
        <v>686</v>
      </c>
      <c r="F13" s="3">
        <v>5</v>
      </c>
      <c r="G13" s="3">
        <f t="shared" si="0"/>
        <v>20.922288629737608</v>
      </c>
      <c r="H13" s="3">
        <f t="shared" si="1"/>
        <v>21.05228862973761</v>
      </c>
    </row>
    <row r="14" spans="2:9" s="2" customFormat="1" x14ac:dyDescent="0.45">
      <c r="B14" s="3">
        <v>15.17</v>
      </c>
      <c r="C14" s="3">
        <f t="shared" si="2"/>
        <v>0.14000000000000057</v>
      </c>
      <c r="D14" s="3">
        <v>15.03</v>
      </c>
      <c r="E14" s="2">
        <v>736</v>
      </c>
      <c r="F14" s="3">
        <v>5</v>
      </c>
      <c r="G14" s="3">
        <f t="shared" si="0"/>
        <v>20.89088315217391</v>
      </c>
      <c r="H14" s="3">
        <f t="shared" si="1"/>
        <v>21.03088315217391</v>
      </c>
    </row>
    <row r="15" spans="2:9" s="2" customFormat="1" x14ac:dyDescent="0.45">
      <c r="B15" s="3">
        <v>16.21</v>
      </c>
      <c r="C15" s="3">
        <f t="shared" si="2"/>
        <v>0.14000000000000057</v>
      </c>
      <c r="D15" s="3">
        <v>16.07</v>
      </c>
      <c r="E15" s="2">
        <v>787</v>
      </c>
      <c r="F15" s="3">
        <v>5</v>
      </c>
      <c r="G15" s="3">
        <f t="shared" si="0"/>
        <v>20.888958068614993</v>
      </c>
      <c r="H15" s="3">
        <f t="shared" si="1"/>
        <v>21.028958068614994</v>
      </c>
    </row>
    <row r="16" spans="2:9" s="2" customFormat="1" ht="14.65" thickBot="1" x14ac:dyDescent="0.5">
      <c r="B16" s="3"/>
      <c r="D16" s="3"/>
      <c r="F16" s="3"/>
    </row>
    <row r="17" spans="2:8" s="2" customFormat="1" ht="14.65" thickBot="1" x14ac:dyDescent="0.5">
      <c r="B17" s="3"/>
      <c r="C17" s="4">
        <f>AVERAGE(C3:C15)</f>
        <v>0.12692307692307736</v>
      </c>
      <c r="D17" s="3"/>
      <c r="F17" s="3"/>
      <c r="G17" s="4">
        <f>AVERAGE(G3:G15)</f>
        <v>21.012972597348497</v>
      </c>
      <c r="H17" s="3">
        <f>AVERAGE(H3:H15)</f>
        <v>21.139895674271578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Skinner</dc:creator>
  <cp:lastModifiedBy>David Skinner</cp:lastModifiedBy>
  <dcterms:created xsi:type="dcterms:W3CDTF">2024-12-18T07:29:52Z</dcterms:created>
  <dcterms:modified xsi:type="dcterms:W3CDTF">2024-12-18T08:19:18Z</dcterms:modified>
</cp:coreProperties>
</file>